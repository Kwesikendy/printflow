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ntdpidesigndesk/Desktop/"/>
    </mc:Choice>
  </mc:AlternateContent>
  <xr:revisionPtr revIDLastSave="0" documentId="13_ncr:1_{67612D6A-343A-324B-BD93-7837F6222C32}" xr6:coauthVersionLast="47" xr6:coauthVersionMax="47" xr10:uidLastSave="{00000000-0000-0000-0000-000000000000}"/>
  <bookViews>
    <workbookView xWindow="-10500" yWindow="24720" windowWidth="12400" windowHeight="19680" activeTab="1" xr2:uid="{00000000-000D-0000-FFFF-FFFF00000000}"/>
  </bookViews>
  <sheets>
    <sheet name="Clients &amp; Customers" sheetId="1" r:id="rId1"/>
    <sheet name="Marketers" sheetId="2" r:id="rId2"/>
    <sheet name="Sheet1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7" i="1" l="1"/>
  <c r="D65" i="2"/>
  <c r="D35" i="2"/>
  <c r="D80" i="2"/>
  <c r="D73" i="1" l="1"/>
  <c r="D54" i="1"/>
  <c r="D55" i="1"/>
  <c r="D75" i="2"/>
  <c r="D72" i="1"/>
  <c r="D58" i="1"/>
  <c r="D81" i="2"/>
  <c r="D83" i="1"/>
  <c r="D27" i="2"/>
  <c r="D74" i="1"/>
  <c r="D99" i="2"/>
  <c r="D91" i="2"/>
  <c r="D98" i="2"/>
  <c r="D97" i="2"/>
  <c r="D55" i="2"/>
  <c r="D34" i="1"/>
  <c r="D96" i="2"/>
  <c r="D53" i="1"/>
  <c r="D73" i="2"/>
  <c r="D72" i="2"/>
  <c r="D71" i="2"/>
  <c r="D70" i="2"/>
  <c r="D64" i="1"/>
  <c r="D61" i="1"/>
  <c r="D62" i="2"/>
  <c r="D67" i="2"/>
  <c r="D19" i="2"/>
  <c r="D63" i="2"/>
  <c r="D85" i="2"/>
  <c r="D83" i="2"/>
  <c r="D82" i="2"/>
  <c r="D58" i="2"/>
  <c r="D53" i="2"/>
  <c r="D39" i="2"/>
  <c r="D37" i="2"/>
  <c r="D26" i="2"/>
  <c r="D21" i="2"/>
  <c r="D20" i="2"/>
  <c r="D17" i="2"/>
  <c r="D61" i="2"/>
  <c r="D56" i="2"/>
  <c r="D89" i="2"/>
  <c r="D19" i="1"/>
  <c r="D66" i="1"/>
  <c r="D47" i="1"/>
  <c r="D48" i="1"/>
  <c r="D86" i="1"/>
  <c r="D95" i="2"/>
  <c r="D25" i="1"/>
  <c r="D30" i="2"/>
  <c r="D68" i="2"/>
  <c r="D67" i="1"/>
  <c r="D69" i="2"/>
  <c r="D80" i="1"/>
  <c r="D42" i="1"/>
  <c r="D25" i="2"/>
  <c r="D43" i="2"/>
  <c r="D54" i="2"/>
  <c r="D47" i="2"/>
  <c r="D46" i="2"/>
  <c r="D93" i="2"/>
  <c r="D29" i="2"/>
  <c r="D45" i="2"/>
  <c r="D94" i="2"/>
  <c r="D29" i="1"/>
  <c r="D85" i="1"/>
  <c r="D65" i="1"/>
  <c r="D66" i="2"/>
  <c r="D28" i="2"/>
  <c r="D44" i="2"/>
  <c r="D40" i="1"/>
  <c r="D78" i="1"/>
  <c r="D84" i="1"/>
  <c r="D28" i="1"/>
  <c r="D27" i="1"/>
  <c r="D26" i="1"/>
  <c r="D23" i="1"/>
  <c r="D46" i="1"/>
  <c r="D45" i="1"/>
  <c r="D44" i="1"/>
  <c r="D43" i="1"/>
  <c r="D81" i="1"/>
  <c r="D82" i="1"/>
  <c r="D63" i="1"/>
  <c r="D59" i="1"/>
  <c r="D62" i="1"/>
  <c r="D23" i="2"/>
  <c r="D41" i="2"/>
  <c r="D87" i="2"/>
  <c r="D92" i="2"/>
  <c r="D64" i="2"/>
  <c r="D90" i="2"/>
  <c r="D60" i="2"/>
  <c r="D38" i="2"/>
  <c r="D84" i="2"/>
  <c r="D86" i="2"/>
  <c r="D88" i="2"/>
  <c r="D57" i="2"/>
  <c r="D59" i="2"/>
  <c r="D42" i="2"/>
  <c r="D40" i="2"/>
  <c r="D36" i="2"/>
  <c r="D24" i="2"/>
  <c r="D22" i="2"/>
  <c r="D18" i="2"/>
  <c r="D79" i="1"/>
  <c r="D77" i="1"/>
  <c r="D76" i="1"/>
  <c r="D75" i="1"/>
  <c r="D60" i="1"/>
  <c r="D57" i="1"/>
  <c r="D56" i="1"/>
  <c r="D41" i="1"/>
  <c r="D39" i="1"/>
  <c r="D38" i="1"/>
  <c r="D37" i="1"/>
  <c r="D36" i="1"/>
  <c r="D35" i="1"/>
  <c r="D24" i="1"/>
  <c r="D22" i="1"/>
  <c r="D20" i="1"/>
  <c r="D18" i="1"/>
  <c r="D21" i="1"/>
</calcChain>
</file>

<file path=xl/sharedStrings.xml><?xml version="1.0" encoding="utf-8"?>
<sst xmlns="http://schemas.openxmlformats.org/spreadsheetml/2006/main" count="218" uniqueCount="56">
  <si>
    <t>Centimeters (cm)</t>
  </si>
  <si>
    <t>Media</t>
  </si>
  <si>
    <t>Size (H)</t>
  </si>
  <si>
    <t>Size (W)</t>
  </si>
  <si>
    <t>Price (GHS)</t>
  </si>
  <si>
    <t>Flexi</t>
  </si>
  <si>
    <t>Black Back Flexi</t>
  </si>
  <si>
    <t>SAV</t>
  </si>
  <si>
    <t>SAV Matte</t>
  </si>
  <si>
    <t>One Way Vision</t>
  </si>
  <si>
    <t>Reflective SAV</t>
  </si>
  <si>
    <t>Transparent SAV</t>
  </si>
  <si>
    <t>Meters (m)</t>
  </si>
  <si>
    <t>Blue Back Paper</t>
  </si>
  <si>
    <t>Inches (")</t>
  </si>
  <si>
    <t>Feets (ft)</t>
  </si>
  <si>
    <t>PVC</t>
  </si>
  <si>
    <t>PVCC</t>
  </si>
  <si>
    <t>Print and cut</t>
  </si>
  <si>
    <t>A4</t>
  </si>
  <si>
    <t>A3</t>
  </si>
  <si>
    <t>A2</t>
  </si>
  <si>
    <t>A1</t>
  </si>
  <si>
    <t>A0</t>
  </si>
  <si>
    <t>A6</t>
  </si>
  <si>
    <t>A5</t>
  </si>
  <si>
    <t>Pocketing</t>
  </si>
  <si>
    <t>PRINT &amp; CUT</t>
  </si>
  <si>
    <t>SAV LAMINATION</t>
  </si>
  <si>
    <t>SAV LAMIANTION</t>
  </si>
  <si>
    <t>Reflective FLEXI</t>
  </si>
  <si>
    <t xml:space="preserve">Reflective FLEXI </t>
  </si>
  <si>
    <t xml:space="preserve">PRINT &amp; CUT </t>
  </si>
  <si>
    <t>POCKETING</t>
  </si>
  <si>
    <t>CLOTH</t>
  </si>
  <si>
    <t>FLAGS</t>
  </si>
  <si>
    <t>40inches =3.5FT</t>
  </si>
  <si>
    <t>FLAG FINISHING</t>
  </si>
  <si>
    <t>FLAGS FINISHING</t>
  </si>
  <si>
    <t>DTF</t>
  </si>
  <si>
    <t>PRICE UNIT</t>
  </si>
  <si>
    <t xml:space="preserve">  </t>
  </si>
  <si>
    <t>PRICE LISTS - JAN. 2025</t>
  </si>
  <si>
    <t xml:space="preserve">PRICE LISTS - JAN.2025		</t>
  </si>
  <si>
    <t>CUTTING ONLY</t>
  </si>
  <si>
    <t>T.SAV PLAIN</t>
  </si>
  <si>
    <t>FLEXI PLAIN</t>
  </si>
  <si>
    <t xml:space="preserve">SAV PLAIN </t>
  </si>
  <si>
    <t>SAV PLAIN</t>
  </si>
  <si>
    <t>PLAIN FLEXY</t>
  </si>
  <si>
    <t>T.SAV</t>
  </si>
  <si>
    <t>PLAIN LAMINATION</t>
  </si>
  <si>
    <t xml:space="preserve">SAV/LAM CUTTING </t>
  </si>
  <si>
    <t xml:space="preserve">Material </t>
  </si>
  <si>
    <t>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</si>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</sst>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0" fontId="0" fillId="0" borderId="0" xfId="0" applyAlignment="1">
      <alignment horizontal="left"/>
    </xf>
    <xf numFmtId="43" fontId="0" fillId="0" borderId="4" xfId="1" applyFont="1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43" fontId="0" fillId="0" borderId="7" xfId="1" applyFont="1" applyBorder="1" applyAlignment="1">
      <alignment horizontal="left"/>
    </xf>
    <xf numFmtId="0" fontId="4" fillId="0" borderId="8" xfId="0" applyFont="1" applyBorder="1"/>
    <xf numFmtId="43" fontId="0" fillId="0" borderId="0" xfId="0" applyNumberFormat="1"/>
    <xf numFmtId="0" fontId="0" fillId="4" borderId="3" xfId="0" applyFill="1" applyBorder="1"/>
    <xf numFmtId="0" fontId="0" fillId="4" borderId="0" xfId="0" applyFill="1" applyAlignment="1">
      <alignment horizontal="left"/>
    </xf>
    <xf numFmtId="43" fontId="0" fillId="4" borderId="4" xfId="1" applyFont="1" applyFill="1" applyBorder="1" applyAlignment="1">
      <alignment horizontal="left"/>
    </xf>
    <xf numFmtId="0" fontId="0" fillId="4" borderId="0" xfId="0" applyFill="1"/>
    <xf numFmtId="43" fontId="0" fillId="4" borderId="0" xfId="0" applyNumberFormat="1" applyFill="1"/>
    <xf numFmtId="0" fontId="7" fillId="0" borderId="3" xfId="0" applyFont="1" applyBorder="1"/>
    <xf numFmtId="0" fontId="7" fillId="0" borderId="0" xfId="0" applyFont="1" applyAlignment="1">
      <alignment horizontal="left"/>
    </xf>
    <xf numFmtId="43" fontId="7" fillId="0" borderId="4" xfId="0" applyNumberFormat="1" applyFont="1" applyBorder="1" applyAlignment="1">
      <alignment horizontal="left"/>
    </xf>
    <xf numFmtId="0" fontId="8" fillId="0" borderId="0" xfId="0" applyFont="1"/>
    <xf numFmtId="0" fontId="9" fillId="5" borderId="9" xfId="0" applyFont="1" applyFill="1" applyBorder="1"/>
    <xf numFmtId="0" fontId="9" fillId="5" borderId="9" xfId="0" applyFont="1" applyFill="1" applyBorder="1" applyAlignment="1">
      <alignment horizontal="left"/>
    </xf>
    <xf numFmtId="0" fontId="0" fillId="0" borderId="9" xfId="0" applyBorder="1"/>
    <xf numFmtId="0" fontId="8" fillId="0" borderId="0" xfId="0" applyFont="1" applyAlignment="1">
      <alignment horizontal="left"/>
    </xf>
    <xf numFmtId="43" fontId="8" fillId="0" borderId="4" xfId="1" applyFont="1" applyBorder="1" applyAlignment="1">
      <alignment horizontal="left"/>
    </xf>
    <xf numFmtId="0" fontId="11" fillId="0" borderId="0" xfId="0" applyFont="1"/>
    <xf numFmtId="43" fontId="0" fillId="0" borderId="0" xfId="1" applyFont="1"/>
    <xf numFmtId="17" fontId="0" fillId="0" borderId="0" xfId="0" applyNumberFormat="1" applyAlignment="1">
      <alignment horizontal="left"/>
    </xf>
    <xf numFmtId="0" fontId="3" fillId="2" borderId="0" xfId="0" applyFont="1" applyFill="1"/>
    <xf numFmtId="0" fontId="2" fillId="2" borderId="0" xfId="0" applyFont="1" applyFill="1"/>
  </cellXfs>
  <cellStyles count="1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107919</xdr:colOff>
      <xdr:row>0</xdr:row>
      <xdr:rowOff>0</xdr:rowOff>
    </xdr:from>
    <xdr:to>
      <xdr:col>5</xdr:col>
      <xdr:colOff>562661</xdr:colOff>
      <xdr:row>8</xdr:row>
      <xdr:rowOff>80891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107919" y="0"/>
          <a:ext cx="6476322" cy="1698725"/>
        </a:xfrm>
        <a:prstGeom prst="rect">
          <a:avLst/>
        </a:prstGeom>
        <a:scene3d>
          <a:camera prst="orthographicFront">
            <a:rot lat="0" lon="11399995" rev="10799999"/>
          </a:camera>
          <a:lightRig rig="threePt" dir="t"/>
        </a:scene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J93"/>
  <sheetViews>
    <sheetView zoomScale="90" zoomScaleNormal="90" zoomScalePageLayoutView="150" workbookViewId="0">
      <selection activeCell="D17" sqref="D17"/>
    </sheetView>
  </sheetViews>
  <sheetFormatPr baseColWidth="10" defaultRowHeight="16" x14ac:dyDescent="0.2"/>
  <cols>
    <col min="1" max="1" width="27.6640625" customWidth="1"/>
    <col min="2" max="2" width="14.1640625" customWidth="1"/>
    <col min="4" max="4" width="15.5" customWidth="1"/>
  </cols>
  <sheetData>
    <row r="10" spans="1:4" ht="31" x14ac:dyDescent="0.35">
      <c r="A10" s="32" t="s">
        <v>43</v>
      </c>
      <c r="B10" s="33"/>
      <c r="C10" s="33"/>
    </row>
    <row r="13" spans="1:4" ht="24" x14ac:dyDescent="0.3">
      <c r="A13" s="13" t="s">
        <v>0</v>
      </c>
      <c r="B13" s="1"/>
      <c r="C13" s="1"/>
      <c r="D13" s="2"/>
    </row>
    <row r="14" spans="1:4" x14ac:dyDescent="0.2">
      <c r="A14" s="3"/>
      <c r="D14" s="4"/>
    </row>
    <row r="15" spans="1:4" x14ac:dyDescent="0.2">
      <c r="A15" s="5" t="s">
        <v>1</v>
      </c>
      <c r="B15" s="6" t="s">
        <v>2</v>
      </c>
      <c r="C15" s="6" t="s">
        <v>3</v>
      </c>
      <c r="D15" s="7" t="s">
        <v>4</v>
      </c>
    </row>
    <row r="16" spans="1:4" x14ac:dyDescent="0.2">
      <c r="A16" s="3"/>
      <c r="D16" s="4"/>
    </row>
    <row r="17" spans="1:6" x14ac:dyDescent="0.2">
      <c r="A17" s="3" t="s">
        <v>5</v>
      </c>
      <c r="B17" s="8">
        <v>815</v>
      </c>
      <c r="C17" s="8">
        <v>550</v>
      </c>
      <c r="D17" s="9">
        <f>B17*C17/10000*1554/144*2.6</f>
        <v>1257.7147916666668</v>
      </c>
    </row>
    <row r="18" spans="1:6" x14ac:dyDescent="0.2">
      <c r="A18" s="3" t="s">
        <v>6</v>
      </c>
      <c r="B18" s="8">
        <v>233</v>
      </c>
      <c r="C18" s="8">
        <v>645</v>
      </c>
      <c r="D18" s="9">
        <f>B18*C18/10000*1554/144*3</f>
        <v>486.54768750000005</v>
      </c>
    </row>
    <row r="19" spans="1:6" s="18" customFormat="1" x14ac:dyDescent="0.2">
      <c r="A19" s="15" t="s">
        <v>7</v>
      </c>
      <c r="B19" s="16">
        <v>63</v>
      </c>
      <c r="C19" s="16">
        <v>124</v>
      </c>
      <c r="D19" s="17">
        <f>B19*C19/10000*1554/144*2.2</f>
        <v>18.546990000000001</v>
      </c>
      <c r="F19" s="19"/>
    </row>
    <row r="20" spans="1:6" x14ac:dyDescent="0.2">
      <c r="A20" s="3" t="s">
        <v>8</v>
      </c>
      <c r="B20" s="8">
        <v>100</v>
      </c>
      <c r="C20" s="8">
        <v>100</v>
      </c>
      <c r="D20" s="9">
        <f>B20*C20/10000*1554/144*3</f>
        <v>32.375</v>
      </c>
    </row>
    <row r="21" spans="1:6" x14ac:dyDescent="0.2">
      <c r="A21" s="3" t="s">
        <v>13</v>
      </c>
      <c r="B21" s="8">
        <v>97</v>
      </c>
      <c r="C21" s="8">
        <v>170</v>
      </c>
      <c r="D21" s="9">
        <f>B21*C21/10000*1554/144*2.5</f>
        <v>44.488645833333329</v>
      </c>
    </row>
    <row r="22" spans="1:6" x14ac:dyDescent="0.2">
      <c r="A22" s="3" t="s">
        <v>9</v>
      </c>
      <c r="B22" s="8">
        <v>300</v>
      </c>
      <c r="C22" s="8">
        <v>400</v>
      </c>
      <c r="D22" s="9">
        <f>B22*C22/10000*1554/144*5</f>
        <v>647.5</v>
      </c>
    </row>
    <row r="23" spans="1:6" x14ac:dyDescent="0.2">
      <c r="A23" s="3" t="s">
        <v>16</v>
      </c>
      <c r="B23" s="8">
        <v>80</v>
      </c>
      <c r="C23" s="8">
        <v>200</v>
      </c>
      <c r="D23" s="9">
        <f>B23*C23/10000*1554/144*5</f>
        <v>86.333333333333329</v>
      </c>
    </row>
    <row r="24" spans="1:6" x14ac:dyDescent="0.2">
      <c r="A24" s="3" t="s">
        <v>10</v>
      </c>
      <c r="B24" s="8">
        <v>530</v>
      </c>
      <c r="C24" s="8">
        <v>123</v>
      </c>
      <c r="D24" s="9">
        <f>B24*C24/10000*1554/144*6</f>
        <v>422.10525000000001</v>
      </c>
    </row>
    <row r="25" spans="1:6" x14ac:dyDescent="0.2">
      <c r="A25" s="10" t="s">
        <v>11</v>
      </c>
      <c r="B25" s="11">
        <v>4</v>
      </c>
      <c r="C25" s="11">
        <v>6</v>
      </c>
      <c r="D25" s="12">
        <f>B25*C25/10000*1554/144*4</f>
        <v>0.10359999999999998</v>
      </c>
    </row>
    <row r="26" spans="1:6" x14ac:dyDescent="0.2">
      <c r="A26" s="3" t="s">
        <v>30</v>
      </c>
      <c r="B26" s="8">
        <v>298</v>
      </c>
      <c r="C26" s="8">
        <v>208</v>
      </c>
      <c r="D26" s="12">
        <f>B26*C26/10000*1554/144*6</f>
        <v>401.34640000000002</v>
      </c>
    </row>
    <row r="27" spans="1:6" x14ac:dyDescent="0.2">
      <c r="A27" t="s">
        <v>29</v>
      </c>
      <c r="B27" s="8">
        <v>298</v>
      </c>
      <c r="C27" s="8">
        <v>55</v>
      </c>
      <c r="D27" s="12">
        <f>B27*C27/10000*1554/144*4</f>
        <v>70.750166666666658</v>
      </c>
    </row>
    <row r="28" spans="1:6" x14ac:dyDescent="0.2">
      <c r="A28" t="s">
        <v>32</v>
      </c>
      <c r="B28" s="8">
        <v>298</v>
      </c>
      <c r="C28" s="8">
        <v>10</v>
      </c>
      <c r="D28" s="12">
        <f>B28*C28/10000*1554/144*6</f>
        <v>19.295500000000001</v>
      </c>
    </row>
    <row r="29" spans="1:6" x14ac:dyDescent="0.2">
      <c r="A29" t="s">
        <v>35</v>
      </c>
      <c r="B29" s="8">
        <v>1</v>
      </c>
      <c r="C29" s="8">
        <v>4</v>
      </c>
      <c r="D29" s="12">
        <f>B29*C29/10000*1554/144*6</f>
        <v>2.5899999999999999E-2</v>
      </c>
    </row>
    <row r="30" spans="1:6" ht="24" x14ac:dyDescent="0.3">
      <c r="A30" s="13" t="s">
        <v>12</v>
      </c>
      <c r="B30" s="1"/>
      <c r="C30" s="1"/>
      <c r="D30" s="12"/>
    </row>
    <row r="31" spans="1:6" x14ac:dyDescent="0.2">
      <c r="A31" s="3"/>
      <c r="D31" s="4"/>
    </row>
    <row r="32" spans="1:6" x14ac:dyDescent="0.2">
      <c r="A32" s="5" t="s">
        <v>1</v>
      </c>
      <c r="B32" s="6" t="s">
        <v>2</v>
      </c>
      <c r="C32" s="6" t="s">
        <v>3</v>
      </c>
      <c r="D32" s="7" t="s">
        <v>4</v>
      </c>
    </row>
    <row r="33" spans="1:4" x14ac:dyDescent="0.2">
      <c r="A33" s="3"/>
      <c r="D33" s="4"/>
    </row>
    <row r="34" spans="1:4" x14ac:dyDescent="0.2">
      <c r="A34" s="3" t="s">
        <v>5</v>
      </c>
      <c r="B34" s="8">
        <v>5</v>
      </c>
      <c r="C34" s="8">
        <v>2</v>
      </c>
      <c r="D34" s="9">
        <f>B34*C34*1554/144*2.6</f>
        <v>280.58333333333337</v>
      </c>
    </row>
    <row r="35" spans="1:4" x14ac:dyDescent="0.2">
      <c r="A35" s="3" t="s">
        <v>6</v>
      </c>
      <c r="B35" s="8">
        <v>6</v>
      </c>
      <c r="C35" s="8">
        <v>27.81</v>
      </c>
      <c r="D35" s="9">
        <f>B35*C35*1554/144*3</f>
        <v>5402.0924999999988</v>
      </c>
    </row>
    <row r="36" spans="1:4" x14ac:dyDescent="0.2">
      <c r="A36" s="3" t="s">
        <v>7</v>
      </c>
      <c r="B36" s="8">
        <v>5</v>
      </c>
      <c r="C36" s="8">
        <v>8</v>
      </c>
      <c r="D36" s="9">
        <f>B36*C36*1554/144*2.5</f>
        <v>1079.1666666666667</v>
      </c>
    </row>
    <row r="37" spans="1:4" x14ac:dyDescent="0.2">
      <c r="A37" s="3" t="s">
        <v>8</v>
      </c>
      <c r="B37" s="8">
        <v>12</v>
      </c>
      <c r="C37" s="8">
        <v>9</v>
      </c>
      <c r="D37" s="9">
        <f>B37*C37*1554/144*3</f>
        <v>3496.5</v>
      </c>
    </row>
    <row r="38" spans="1:4" x14ac:dyDescent="0.2">
      <c r="A38" s="3" t="s">
        <v>13</v>
      </c>
      <c r="B38" s="8">
        <v>3</v>
      </c>
      <c r="C38" s="8">
        <v>4</v>
      </c>
      <c r="D38" s="9">
        <f>B38*C38*1554/144*2.5</f>
        <v>323.75</v>
      </c>
    </row>
    <row r="39" spans="1:4" x14ac:dyDescent="0.2">
      <c r="A39" s="3" t="s">
        <v>9</v>
      </c>
      <c r="B39" s="8">
        <v>19.149999999999999</v>
      </c>
      <c r="C39" s="8">
        <v>9.35</v>
      </c>
      <c r="D39" s="9">
        <f>B39*C39*1554/144*5</f>
        <v>9661.374479166665</v>
      </c>
    </row>
    <row r="40" spans="1:4" x14ac:dyDescent="0.2">
      <c r="A40" s="3" t="s">
        <v>16</v>
      </c>
      <c r="B40" s="8">
        <v>10</v>
      </c>
      <c r="C40" s="8">
        <v>20</v>
      </c>
      <c r="D40" s="9">
        <f>B40*C40*1554/144*5</f>
        <v>10791.666666666668</v>
      </c>
    </row>
    <row r="41" spans="1:4" x14ac:dyDescent="0.2">
      <c r="A41" s="3" t="s">
        <v>10</v>
      </c>
      <c r="B41" s="8">
        <v>6</v>
      </c>
      <c r="C41" s="8">
        <v>20</v>
      </c>
      <c r="D41" s="9">
        <f>B41*C41*1554/144*6</f>
        <v>7770</v>
      </c>
    </row>
    <row r="42" spans="1:4" x14ac:dyDescent="0.2">
      <c r="A42" s="10" t="s">
        <v>11</v>
      </c>
      <c r="B42" s="11">
        <v>6</v>
      </c>
      <c r="C42" s="11">
        <v>12</v>
      </c>
      <c r="D42" s="12">
        <f>B42*C42*1554/144*4</f>
        <v>3108</v>
      </c>
    </row>
    <row r="43" spans="1:4" x14ac:dyDescent="0.2">
      <c r="A43" s="3" t="s">
        <v>30</v>
      </c>
      <c r="B43" s="8">
        <v>7</v>
      </c>
      <c r="C43" s="8">
        <v>7</v>
      </c>
      <c r="D43" s="12">
        <f>B43*C43*1554/144*6</f>
        <v>3172.75</v>
      </c>
    </row>
    <row r="44" spans="1:4" x14ac:dyDescent="0.2">
      <c r="A44" t="s">
        <v>29</v>
      </c>
      <c r="B44" s="8">
        <v>44</v>
      </c>
      <c r="C44" s="8">
        <v>45</v>
      </c>
      <c r="D44" s="12">
        <f>B44*C44*1554/144*4</f>
        <v>85470</v>
      </c>
    </row>
    <row r="45" spans="1:4" x14ac:dyDescent="0.2">
      <c r="A45" t="s">
        <v>32</v>
      </c>
      <c r="B45" s="8">
        <v>7</v>
      </c>
      <c r="C45" s="8">
        <v>7</v>
      </c>
      <c r="D45" s="12">
        <f>B45*C45*1554/144*6</f>
        <v>3172.75</v>
      </c>
    </row>
    <row r="46" spans="1:4" x14ac:dyDescent="0.2">
      <c r="A46" t="s">
        <v>33</v>
      </c>
      <c r="B46" s="8">
        <v>5</v>
      </c>
      <c r="C46" s="8">
        <v>10</v>
      </c>
      <c r="D46" s="12">
        <f>B46*C46*1554/144*0.11</f>
        <v>59.354166666666671</v>
      </c>
    </row>
    <row r="47" spans="1:4" x14ac:dyDescent="0.2">
      <c r="A47" t="s">
        <v>35</v>
      </c>
      <c r="B47" s="8">
        <v>1</v>
      </c>
      <c r="C47" s="8">
        <v>4</v>
      </c>
      <c r="D47" s="12">
        <f>B47*C47*1554/144*6</f>
        <v>259</v>
      </c>
    </row>
    <row r="48" spans="1:4" x14ac:dyDescent="0.2">
      <c r="A48" t="s">
        <v>38</v>
      </c>
      <c r="B48" s="8">
        <v>1</v>
      </c>
      <c r="C48" s="8">
        <v>4</v>
      </c>
      <c r="D48" s="12">
        <f>B48*C48*1554/144*0.6</f>
        <v>25.9</v>
      </c>
    </row>
    <row r="49" spans="1:10" ht="24" x14ac:dyDescent="0.3">
      <c r="A49" s="13" t="s">
        <v>14</v>
      </c>
      <c r="B49" s="1"/>
      <c r="C49" s="1"/>
      <c r="D49" s="12"/>
    </row>
    <row r="50" spans="1:10" x14ac:dyDescent="0.2">
      <c r="A50" s="3"/>
      <c r="D50" s="4"/>
    </row>
    <row r="51" spans="1:10" x14ac:dyDescent="0.2">
      <c r="A51" s="5" t="s">
        <v>1</v>
      </c>
      <c r="B51" s="6" t="s">
        <v>2</v>
      </c>
      <c r="C51" s="6" t="s">
        <v>3</v>
      </c>
      <c r="D51" s="7" t="s">
        <v>4</v>
      </c>
    </row>
    <row r="52" spans="1:10" x14ac:dyDescent="0.2">
      <c r="A52" s="3"/>
      <c r="D52" s="4"/>
    </row>
    <row r="53" spans="1:10" x14ac:dyDescent="0.2">
      <c r="A53" s="3" t="s">
        <v>5</v>
      </c>
      <c r="B53" s="8">
        <v>16.5</v>
      </c>
      <c r="C53" s="8">
        <v>23.4</v>
      </c>
      <c r="D53" s="9">
        <f>B53*C53/144*2.6</f>
        <v>6.9712500000000004</v>
      </c>
    </row>
    <row r="54" spans="1:10" x14ac:dyDescent="0.2">
      <c r="A54" s="3" t="s">
        <v>6</v>
      </c>
      <c r="B54" s="8">
        <v>97</v>
      </c>
      <c r="C54" s="8">
        <v>150</v>
      </c>
      <c r="D54" s="9">
        <f>B54*C54/144*2.3</f>
        <v>232.39583333333331</v>
      </c>
      <c r="H54" s="6" t="s">
        <v>24</v>
      </c>
      <c r="I54">
        <v>4.0999999999999996</v>
      </c>
      <c r="J54">
        <v>5.8</v>
      </c>
    </row>
    <row r="55" spans="1:10" x14ac:dyDescent="0.2">
      <c r="A55" s="3" t="s">
        <v>7</v>
      </c>
      <c r="B55" s="8">
        <v>6.7460000000000004</v>
      </c>
      <c r="C55" s="8">
        <v>9.9380000000000006</v>
      </c>
      <c r="D55" s="9">
        <f>B55*C55/144*2.6</f>
        <v>1.2104760055555557</v>
      </c>
      <c r="H55" t="s">
        <v>25</v>
      </c>
      <c r="I55">
        <v>5.8</v>
      </c>
      <c r="J55">
        <v>8.3000000000000007</v>
      </c>
    </row>
    <row r="56" spans="1:10" x14ac:dyDescent="0.2">
      <c r="A56" s="3" t="s">
        <v>8</v>
      </c>
      <c r="B56" s="8">
        <v>12</v>
      </c>
      <c r="C56" s="8">
        <v>87</v>
      </c>
      <c r="D56" s="9">
        <f>B56*C56/144*3</f>
        <v>21.75</v>
      </c>
      <c r="H56" s="6" t="s">
        <v>19</v>
      </c>
      <c r="I56">
        <v>8.3000000000000007</v>
      </c>
      <c r="J56">
        <v>11.7</v>
      </c>
    </row>
    <row r="57" spans="1:10" x14ac:dyDescent="0.2">
      <c r="A57" s="3" t="s">
        <v>13</v>
      </c>
      <c r="B57" s="8">
        <v>23.4</v>
      </c>
      <c r="C57" s="8">
        <v>33.1</v>
      </c>
      <c r="D57" s="9">
        <f>B57*C57/144*2.5</f>
        <v>13.446875</v>
      </c>
      <c r="H57" t="s">
        <v>20</v>
      </c>
      <c r="I57">
        <v>11.7</v>
      </c>
      <c r="J57">
        <v>16.5</v>
      </c>
    </row>
    <row r="58" spans="1:10" x14ac:dyDescent="0.2">
      <c r="A58" s="3" t="s">
        <v>9</v>
      </c>
      <c r="B58" s="8">
        <v>9</v>
      </c>
      <c r="C58" s="8">
        <v>34</v>
      </c>
      <c r="D58" s="9">
        <f>B58*C58/144*4.7</f>
        <v>9.9875000000000007</v>
      </c>
      <c r="H58" s="6" t="s">
        <v>21</v>
      </c>
      <c r="I58">
        <v>16.5</v>
      </c>
      <c r="J58">
        <v>23.4</v>
      </c>
    </row>
    <row r="59" spans="1:10" x14ac:dyDescent="0.2">
      <c r="A59" s="3" t="s">
        <v>16</v>
      </c>
      <c r="B59" s="8">
        <v>85</v>
      </c>
      <c r="C59" s="8">
        <v>2</v>
      </c>
      <c r="D59" s="9">
        <f>B59*C59/144*5</f>
        <v>5.9027777777777777</v>
      </c>
      <c r="H59" t="s">
        <v>22</v>
      </c>
      <c r="I59">
        <v>23.4</v>
      </c>
      <c r="J59">
        <v>33.1</v>
      </c>
    </row>
    <row r="60" spans="1:10" x14ac:dyDescent="0.2">
      <c r="A60" s="3" t="s">
        <v>10</v>
      </c>
      <c r="B60" s="8">
        <v>11.693</v>
      </c>
      <c r="C60" s="8">
        <v>16.535</v>
      </c>
      <c r="D60" s="9">
        <f>B60*C60/144*6</f>
        <v>8.0559897916666667</v>
      </c>
      <c r="H60" s="6" t="s">
        <v>23</v>
      </c>
      <c r="I60">
        <v>33.1</v>
      </c>
      <c r="J60">
        <v>46.8</v>
      </c>
    </row>
    <row r="61" spans="1:10" x14ac:dyDescent="0.2">
      <c r="A61" s="10" t="s">
        <v>11</v>
      </c>
      <c r="B61" s="11">
        <v>2</v>
      </c>
      <c r="C61" s="11">
        <v>1</v>
      </c>
      <c r="D61" s="12">
        <f>B61*C61/144*4</f>
        <v>5.5555555555555552E-2</v>
      </c>
    </row>
    <row r="62" spans="1:10" x14ac:dyDescent="0.2">
      <c r="A62" s="3" t="s">
        <v>31</v>
      </c>
      <c r="B62" s="8">
        <v>46</v>
      </c>
      <c r="C62" s="8">
        <v>47</v>
      </c>
      <c r="D62" s="12">
        <f>B62*C62/144*6</f>
        <v>90.083333333333343</v>
      </c>
    </row>
    <row r="63" spans="1:10" x14ac:dyDescent="0.2">
      <c r="A63" s="3" t="s">
        <v>28</v>
      </c>
      <c r="B63" s="8">
        <v>26.3</v>
      </c>
      <c r="C63" s="8">
        <v>31</v>
      </c>
      <c r="D63" s="12">
        <f>B63*C63/144*4</f>
        <v>22.647222222222226</v>
      </c>
    </row>
    <row r="64" spans="1:10" x14ac:dyDescent="0.2">
      <c r="A64" s="3" t="s">
        <v>27</v>
      </c>
      <c r="B64" s="8">
        <v>4.7</v>
      </c>
      <c r="C64" s="8">
        <v>8.6999999999999993</v>
      </c>
      <c r="D64" s="12">
        <f>B64*C64/144*5</f>
        <v>1.4197916666666666</v>
      </c>
    </row>
    <row r="65" spans="1:6" x14ac:dyDescent="0.2">
      <c r="A65" s="3" t="s">
        <v>35</v>
      </c>
      <c r="B65" s="8">
        <v>36</v>
      </c>
      <c r="C65" s="8">
        <v>60</v>
      </c>
      <c r="D65" s="12">
        <f>B65*C65/144*6</f>
        <v>90</v>
      </c>
    </row>
    <row r="66" spans="1:6" x14ac:dyDescent="0.2">
      <c r="A66" s="3" t="s">
        <v>37</v>
      </c>
      <c r="B66" s="8">
        <v>3</v>
      </c>
      <c r="C66" s="8">
        <v>5</v>
      </c>
      <c r="D66" s="12">
        <f>B66*C66/144*0.6</f>
        <v>6.25E-2</v>
      </c>
    </row>
    <row r="67" spans="1:6" x14ac:dyDescent="0.2">
      <c r="A67" s="3" t="s">
        <v>39</v>
      </c>
      <c r="B67" s="8">
        <v>12</v>
      </c>
      <c r="C67" s="8">
        <v>12</v>
      </c>
      <c r="D67" s="12">
        <f>B67*C67/144*10</f>
        <v>10</v>
      </c>
    </row>
    <row r="68" spans="1:6" ht="24" x14ac:dyDescent="0.3">
      <c r="A68" s="13" t="s">
        <v>15</v>
      </c>
      <c r="B68" s="1"/>
      <c r="C68" s="1"/>
      <c r="D68" s="2"/>
    </row>
    <row r="69" spans="1:6" x14ac:dyDescent="0.2">
      <c r="A69" s="3"/>
      <c r="D69" s="4"/>
    </row>
    <row r="70" spans="1:6" x14ac:dyDescent="0.2">
      <c r="A70" s="5" t="s">
        <v>1</v>
      </c>
      <c r="B70" s="6" t="s">
        <v>2</v>
      </c>
      <c r="C70" s="6" t="s">
        <v>3</v>
      </c>
      <c r="D70" s="7" t="s">
        <v>4</v>
      </c>
    </row>
    <row r="71" spans="1:6" x14ac:dyDescent="0.2">
      <c r="A71" s="3"/>
      <c r="D71" s="4"/>
    </row>
    <row r="72" spans="1:6" x14ac:dyDescent="0.2">
      <c r="A72" s="3" t="s">
        <v>5</v>
      </c>
      <c r="B72" s="8">
        <v>4.4000000000000004</v>
      </c>
      <c r="C72" s="8">
        <v>3.4</v>
      </c>
      <c r="D72" s="9">
        <f>B72*C72*2.6</f>
        <v>38.896000000000001</v>
      </c>
      <c r="F72" s="14"/>
    </row>
    <row r="73" spans="1:6" x14ac:dyDescent="0.2">
      <c r="A73" s="3" t="s">
        <v>6</v>
      </c>
      <c r="B73" s="8">
        <v>4</v>
      </c>
      <c r="C73" s="8">
        <v>8</v>
      </c>
      <c r="D73" s="9">
        <f>B73*C73*2.3</f>
        <v>73.599999999999994</v>
      </c>
    </row>
    <row r="74" spans="1:6" x14ac:dyDescent="0.2">
      <c r="A74" s="3" t="s">
        <v>7</v>
      </c>
      <c r="B74" s="8">
        <v>8</v>
      </c>
      <c r="C74" s="8">
        <v>8</v>
      </c>
      <c r="D74" s="9">
        <f>B74*C74*2.6</f>
        <v>166.4</v>
      </c>
    </row>
    <row r="75" spans="1:6" x14ac:dyDescent="0.2">
      <c r="A75" s="3" t="s">
        <v>8</v>
      </c>
      <c r="B75" s="8">
        <v>3</v>
      </c>
      <c r="C75" s="8">
        <v>12</v>
      </c>
      <c r="D75" s="9">
        <f>B75*C75*3</f>
        <v>108</v>
      </c>
    </row>
    <row r="76" spans="1:6" x14ac:dyDescent="0.2">
      <c r="A76" s="3" t="s">
        <v>13</v>
      </c>
      <c r="B76" s="8">
        <v>18</v>
      </c>
      <c r="C76" s="8">
        <v>7</v>
      </c>
      <c r="D76" s="9">
        <f>B76*C76*2.5</f>
        <v>315</v>
      </c>
    </row>
    <row r="77" spans="1:6" x14ac:dyDescent="0.2">
      <c r="A77" s="3" t="s">
        <v>9</v>
      </c>
      <c r="B77" s="8">
        <v>4</v>
      </c>
      <c r="C77" s="8">
        <v>8</v>
      </c>
      <c r="D77" s="9">
        <f>B77*C77*5</f>
        <v>160</v>
      </c>
    </row>
    <row r="78" spans="1:6" x14ac:dyDescent="0.2">
      <c r="A78" s="3" t="s">
        <v>16</v>
      </c>
      <c r="B78" s="8">
        <v>4</v>
      </c>
      <c r="C78" s="8">
        <v>2</v>
      </c>
      <c r="D78" s="9">
        <f>B78*C78*5</f>
        <v>40</v>
      </c>
    </row>
    <row r="79" spans="1:6" x14ac:dyDescent="0.2">
      <c r="A79" s="3" t="s">
        <v>10</v>
      </c>
      <c r="B79" s="8">
        <v>3</v>
      </c>
      <c r="C79" s="8">
        <v>4</v>
      </c>
      <c r="D79" s="9">
        <f>B79*C79*6</f>
        <v>72</v>
      </c>
    </row>
    <row r="80" spans="1:6" x14ac:dyDescent="0.2">
      <c r="A80" s="10" t="s">
        <v>11</v>
      </c>
      <c r="B80" s="11">
        <v>6</v>
      </c>
      <c r="C80" s="11">
        <v>16</v>
      </c>
      <c r="D80" s="12">
        <f>B80*C80*4</f>
        <v>384</v>
      </c>
    </row>
    <row r="81" spans="1:4" x14ac:dyDescent="0.2">
      <c r="A81" s="3" t="s">
        <v>30</v>
      </c>
      <c r="B81" s="8">
        <v>4</v>
      </c>
      <c r="C81" s="8">
        <v>4</v>
      </c>
      <c r="D81" s="12">
        <f>B81*C81*6</f>
        <v>96</v>
      </c>
    </row>
    <row r="82" spans="1:4" x14ac:dyDescent="0.2">
      <c r="A82" s="3" t="s">
        <v>28</v>
      </c>
      <c r="B82" s="8">
        <v>4</v>
      </c>
      <c r="C82" s="8">
        <v>3</v>
      </c>
      <c r="D82" s="12">
        <f>B82*C82*4</f>
        <v>48</v>
      </c>
    </row>
    <row r="83" spans="1:4" x14ac:dyDescent="0.2">
      <c r="A83" s="3" t="s">
        <v>27</v>
      </c>
      <c r="B83" s="8">
        <v>4.5999999999999996</v>
      </c>
      <c r="C83" s="8">
        <v>6.1</v>
      </c>
      <c r="D83" s="12">
        <f>B83*C83*5</f>
        <v>140.29999999999998</v>
      </c>
    </row>
    <row r="84" spans="1:4" x14ac:dyDescent="0.2">
      <c r="A84" s="3" t="s">
        <v>33</v>
      </c>
      <c r="B84" s="8">
        <v>22</v>
      </c>
      <c r="C84" s="8">
        <v>36</v>
      </c>
      <c r="D84" s="12">
        <f>B84*C84*0.11</f>
        <v>87.12</v>
      </c>
    </row>
    <row r="85" spans="1:4" x14ac:dyDescent="0.2">
      <c r="A85" s="3" t="s">
        <v>35</v>
      </c>
      <c r="B85" s="8">
        <v>3</v>
      </c>
      <c r="C85" s="8">
        <v>5</v>
      </c>
      <c r="D85" s="12">
        <f>B85*C85*6</f>
        <v>90</v>
      </c>
    </row>
    <row r="86" spans="1:4" x14ac:dyDescent="0.2">
      <c r="A86" s="3" t="s">
        <v>38</v>
      </c>
      <c r="B86" s="8">
        <v>1</v>
      </c>
      <c r="C86" s="8">
        <v>1</v>
      </c>
      <c r="D86" s="12">
        <f>B86*C86*0.6</f>
        <v>0.6</v>
      </c>
    </row>
    <row r="89" spans="1:4" ht="19" x14ac:dyDescent="0.25">
      <c r="A89" s="24" t="s">
        <v>39</v>
      </c>
      <c r="B89" s="25" t="s">
        <v>40</v>
      </c>
    </row>
    <row r="90" spans="1:4" x14ac:dyDescent="0.2">
      <c r="A90" s="26" t="s">
        <v>19</v>
      </c>
      <c r="B90" s="26">
        <v>6.5</v>
      </c>
    </row>
    <row r="91" spans="1:4" x14ac:dyDescent="0.2">
      <c r="A91" s="26" t="s">
        <v>20</v>
      </c>
      <c r="B91" s="26">
        <v>13</v>
      </c>
    </row>
    <row r="92" spans="1:4" x14ac:dyDescent="0.2">
      <c r="A92" s="26" t="s">
        <v>21</v>
      </c>
      <c r="B92" s="26">
        <v>26</v>
      </c>
    </row>
    <row r="93" spans="1:4" x14ac:dyDescent="0.2">
      <c r="A93" s="26" t="s">
        <v>22</v>
      </c>
      <c r="B93" s="26">
        <v>52</v>
      </c>
    </row>
  </sheetData>
  <mergeCells count="1">
    <mergeCell ref="A10:C10"/>
  </mergeCells>
  <pageMargins left="0.7" right="0.7" top="0.75" bottom="0.75" header="0.3" footer="0.3"/>
  <pageSetup paperSize="9" orientation="portrait" horizontalDpi="0" verticalDpi="0"/>
  <ignoredErrors>
    <ignoredError sqref="D24 D18 D35:D37 D41 D60 D79 D20 D56 D43:D44 D63 D82 D7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H104"/>
  <sheetViews>
    <sheetView tabSelected="1" zoomScaleSheetLayoutView="153" zoomScalePageLayoutView="159" workbookViewId="0">
      <selection activeCell="D57" sqref="D57"/>
    </sheetView>
  </sheetViews>
  <sheetFormatPr baseColWidth="10" defaultRowHeight="16" x14ac:dyDescent="0.2"/>
  <cols>
    <col min="1" max="1" width="27.6640625" customWidth="1"/>
    <col min="2" max="2" width="16" customWidth="1"/>
    <col min="4" max="4" width="11.83203125" customWidth="1"/>
    <col min="5" max="5" width="10.5" customWidth="1"/>
  </cols>
  <sheetData>
    <row r="10" spans="1:4" ht="31" x14ac:dyDescent="0.35">
      <c r="A10" s="32" t="s">
        <v>42</v>
      </c>
      <c r="B10" s="33"/>
      <c r="C10" s="33"/>
    </row>
    <row r="13" spans="1:4" ht="24" x14ac:dyDescent="0.3">
      <c r="A13" s="13" t="s">
        <v>0</v>
      </c>
      <c r="B13" s="1"/>
      <c r="C13" s="1"/>
      <c r="D13" s="2"/>
    </row>
    <row r="14" spans="1:4" x14ac:dyDescent="0.2">
      <c r="A14" s="3"/>
      <c r="D14" s="4"/>
    </row>
    <row r="15" spans="1:4" x14ac:dyDescent="0.2">
      <c r="A15" s="5" t="s">
        <v>1</v>
      </c>
      <c r="B15" s="6" t="s">
        <v>2</v>
      </c>
      <c r="C15" s="6" t="s">
        <v>3</v>
      </c>
      <c r="D15" s="7" t="s">
        <v>4</v>
      </c>
    </row>
    <row r="16" spans="1:4" x14ac:dyDescent="0.2">
      <c r="A16" s="3"/>
      <c r="D16" s="4"/>
    </row>
    <row r="17" spans="1:5" x14ac:dyDescent="0.2">
      <c r="A17" s="3" t="s">
        <v>5</v>
      </c>
      <c r="B17" s="8">
        <v>815</v>
      </c>
      <c r="C17" s="8">
        <v>550</v>
      </c>
      <c r="D17" s="9">
        <f>B17*C17/10000*1554/144*2.1</f>
        <v>1015.8465625000001</v>
      </c>
    </row>
    <row r="18" spans="1:5" x14ac:dyDescent="0.2">
      <c r="A18" s="3" t="s">
        <v>6</v>
      </c>
      <c r="B18" s="8">
        <v>233</v>
      </c>
      <c r="C18" s="8">
        <v>645</v>
      </c>
      <c r="D18" s="9">
        <f>B18*C18/10000*1554/144*2.5</f>
        <v>405.45640625000004</v>
      </c>
    </row>
    <row r="19" spans="1:5" x14ac:dyDescent="0.2">
      <c r="A19" s="3" t="s">
        <v>7</v>
      </c>
      <c r="B19" s="27">
        <v>8</v>
      </c>
      <c r="C19" s="27">
        <v>20</v>
      </c>
      <c r="D19" s="28">
        <f>B19*C19/10000*1554/144*2.1</f>
        <v>0.36260000000000003</v>
      </c>
      <c r="E19">
        <v>5</v>
      </c>
    </row>
    <row r="20" spans="1:5" x14ac:dyDescent="0.2">
      <c r="A20" s="3" t="s">
        <v>8</v>
      </c>
      <c r="B20" s="8">
        <v>510</v>
      </c>
      <c r="C20" s="8">
        <v>255</v>
      </c>
      <c r="D20" s="9">
        <f>B20*C20/10000*1554/144*2.1</f>
        <v>294.72581250000002</v>
      </c>
    </row>
    <row r="21" spans="1:5" x14ac:dyDescent="0.2">
      <c r="A21" s="3" t="s">
        <v>13</v>
      </c>
      <c r="B21" s="8">
        <v>500</v>
      </c>
      <c r="C21" s="8">
        <v>700</v>
      </c>
      <c r="D21" s="9">
        <f>B21*C21/10000*1554/144*2.1</f>
        <v>793.1875</v>
      </c>
    </row>
    <row r="22" spans="1:5" x14ac:dyDescent="0.2">
      <c r="A22" s="3" t="s">
        <v>9</v>
      </c>
      <c r="B22" s="8">
        <v>287</v>
      </c>
      <c r="C22" s="8">
        <v>265</v>
      </c>
      <c r="D22" s="9">
        <f>B22*C22/10000*1554/144*4</f>
        <v>328.30408333333332</v>
      </c>
    </row>
    <row r="23" spans="1:5" x14ac:dyDescent="0.2">
      <c r="A23" s="3" t="s">
        <v>17</v>
      </c>
      <c r="B23" s="8">
        <v>200</v>
      </c>
      <c r="C23" s="8">
        <v>80</v>
      </c>
      <c r="D23" s="9">
        <f>B23*C23/10000*1554/144*4</f>
        <v>69.066666666666663</v>
      </c>
    </row>
    <row r="24" spans="1:5" x14ac:dyDescent="0.2">
      <c r="A24" s="3" t="s">
        <v>10</v>
      </c>
      <c r="B24" s="8">
        <v>45</v>
      </c>
      <c r="C24" s="8">
        <v>43</v>
      </c>
      <c r="D24" s="9">
        <f>B24*C24/10000*1554/144*5</f>
        <v>10.4409375</v>
      </c>
    </row>
    <row r="25" spans="1:5" x14ac:dyDescent="0.2">
      <c r="A25" s="10" t="s">
        <v>11</v>
      </c>
      <c r="B25" s="11">
        <v>10</v>
      </c>
      <c r="C25" s="11">
        <v>10</v>
      </c>
      <c r="D25" s="12">
        <f>B25*C25/10000*1554/144*3</f>
        <v>0.32375000000000004</v>
      </c>
    </row>
    <row r="26" spans="1:5" x14ac:dyDescent="0.2">
      <c r="A26" s="3" t="s">
        <v>28</v>
      </c>
      <c r="B26" s="8">
        <v>26</v>
      </c>
      <c r="C26" s="8">
        <v>32</v>
      </c>
      <c r="D26" s="12">
        <f>B26*C26/10000*1554/144*3.6</f>
        <v>3.2323200000000001</v>
      </c>
    </row>
    <row r="27" spans="1:5" x14ac:dyDescent="0.2">
      <c r="A27" s="3" t="s">
        <v>27</v>
      </c>
      <c r="B27" s="8">
        <v>8</v>
      </c>
      <c r="C27" s="8">
        <v>20</v>
      </c>
      <c r="D27" s="12">
        <f>B27*C27/10000*1554/144*4</f>
        <v>0.69066666666666665</v>
      </c>
    </row>
    <row r="28" spans="1:5" x14ac:dyDescent="0.2">
      <c r="A28" s="3" t="s">
        <v>35</v>
      </c>
      <c r="B28" s="8">
        <v>1</v>
      </c>
      <c r="C28" s="8">
        <v>4</v>
      </c>
      <c r="D28" s="12">
        <f>B28*C28/10000*1554/144*4</f>
        <v>1.7266666666666666E-2</v>
      </c>
    </row>
    <row r="29" spans="1:5" x14ac:dyDescent="0.2">
      <c r="B29" s="8">
        <v>224</v>
      </c>
      <c r="C29" s="8">
        <v>130.91999999999999</v>
      </c>
      <c r="D29" s="12">
        <f>B29*C29/10000*1554/144*2.1</f>
        <v>66.460228799999996</v>
      </c>
    </row>
    <row r="30" spans="1:5" x14ac:dyDescent="0.2">
      <c r="B30" s="8">
        <v>97</v>
      </c>
      <c r="C30" s="8">
        <v>242</v>
      </c>
      <c r="D30" s="12">
        <f>B30*C30/10000*1554/144*2.2</f>
        <v>55.731188333333336</v>
      </c>
    </row>
    <row r="31" spans="1:5" ht="24" x14ac:dyDescent="0.3">
      <c r="A31" s="13" t="s">
        <v>12</v>
      </c>
      <c r="B31" s="1"/>
      <c r="C31" s="1"/>
      <c r="D31" s="12"/>
    </row>
    <row r="32" spans="1:5" x14ac:dyDescent="0.2">
      <c r="A32" s="3"/>
      <c r="D32" s="4"/>
    </row>
    <row r="33" spans="1:5" x14ac:dyDescent="0.2">
      <c r="A33" s="5" t="s">
        <v>1</v>
      </c>
      <c r="B33" s="6" t="s">
        <v>2</v>
      </c>
      <c r="C33" s="6" t="s">
        <v>3</v>
      </c>
      <c r="D33" s="7" t="s">
        <v>4</v>
      </c>
    </row>
    <row r="34" spans="1:5" x14ac:dyDescent="0.2">
      <c r="A34" s="3"/>
      <c r="D34" s="4"/>
    </row>
    <row r="35" spans="1:5" x14ac:dyDescent="0.2">
      <c r="A35" s="3" t="s">
        <v>5</v>
      </c>
      <c r="B35" s="8">
        <v>5</v>
      </c>
      <c r="C35" s="8">
        <v>10</v>
      </c>
      <c r="D35" s="9">
        <f>B35*C35*1554/144*2.1</f>
        <v>1133.1250000000002</v>
      </c>
      <c r="E35" s="14"/>
    </row>
    <row r="36" spans="1:5" x14ac:dyDescent="0.2">
      <c r="A36" s="3" t="s">
        <v>6</v>
      </c>
      <c r="B36" s="8">
        <v>9</v>
      </c>
      <c r="C36" s="8">
        <v>1</v>
      </c>
      <c r="D36" s="9">
        <f>B36*C36*1554/144*2.5</f>
        <v>242.8125</v>
      </c>
    </row>
    <row r="37" spans="1:5" x14ac:dyDescent="0.2">
      <c r="A37" s="3" t="s">
        <v>7</v>
      </c>
      <c r="B37" s="8">
        <v>3</v>
      </c>
      <c r="C37" s="8">
        <v>4</v>
      </c>
      <c r="D37" s="9">
        <f>B37*C37*1554/144*2.1</f>
        <v>271.95</v>
      </c>
    </row>
    <row r="38" spans="1:5" x14ac:dyDescent="0.2">
      <c r="A38" s="3" t="s">
        <v>8</v>
      </c>
      <c r="B38" s="8">
        <v>9</v>
      </c>
      <c r="C38" s="8">
        <v>6</v>
      </c>
      <c r="D38" s="9">
        <f>B38*C38*1554/144*2.5</f>
        <v>1456.875</v>
      </c>
    </row>
    <row r="39" spans="1:5" x14ac:dyDescent="0.2">
      <c r="A39" s="3" t="s">
        <v>13</v>
      </c>
      <c r="B39" s="8">
        <v>6</v>
      </c>
      <c r="C39" s="8">
        <v>9</v>
      </c>
      <c r="D39" s="9">
        <f>B39*C39*1554/144*2.1</f>
        <v>1223.7750000000001</v>
      </c>
    </row>
    <row r="40" spans="1:5" x14ac:dyDescent="0.2">
      <c r="A40" s="3" t="s">
        <v>9</v>
      </c>
      <c r="B40" s="8">
        <v>4</v>
      </c>
      <c r="C40" s="8">
        <v>1</v>
      </c>
      <c r="D40" s="9">
        <f>B40*C40*1554/144*4</f>
        <v>172.66666666666666</v>
      </c>
    </row>
    <row r="41" spans="1:5" x14ac:dyDescent="0.2">
      <c r="A41" s="3" t="s">
        <v>16</v>
      </c>
      <c r="B41" s="8">
        <v>4</v>
      </c>
      <c r="C41" s="8">
        <v>3</v>
      </c>
      <c r="D41" s="9">
        <f>B41*C41*1554/144*4</f>
        <v>518</v>
      </c>
    </row>
    <row r="42" spans="1:5" x14ac:dyDescent="0.2">
      <c r="A42" s="3" t="s">
        <v>10</v>
      </c>
      <c r="B42" s="8">
        <v>9</v>
      </c>
      <c r="C42" s="8">
        <v>8</v>
      </c>
      <c r="D42" s="9">
        <f>B42*C42*1554/144*5</f>
        <v>3885</v>
      </c>
    </row>
    <row r="43" spans="1:5" x14ac:dyDescent="0.2">
      <c r="A43" s="10" t="s">
        <v>11</v>
      </c>
      <c r="B43" s="11">
        <v>6</v>
      </c>
      <c r="C43" s="11">
        <v>12</v>
      </c>
      <c r="D43" s="12">
        <f>B43*C43*1554/144*3</f>
        <v>2331</v>
      </c>
    </row>
    <row r="44" spans="1:5" s="23" customFormat="1" x14ac:dyDescent="0.2">
      <c r="A44" s="23" t="s">
        <v>26</v>
      </c>
      <c r="B44" s="23">
        <v>5</v>
      </c>
      <c r="C44" s="23">
        <v>10</v>
      </c>
      <c r="D44" s="12">
        <f>B44*C44*1554/144*0.11</f>
        <v>59.354166666666671</v>
      </c>
    </row>
    <row r="45" spans="1:5" x14ac:dyDescent="0.2">
      <c r="A45" t="s">
        <v>35</v>
      </c>
      <c r="B45" s="8">
        <v>1</v>
      </c>
      <c r="C45" s="8">
        <v>4</v>
      </c>
      <c r="D45" s="12">
        <f>B45*C45*1554/144*4</f>
        <v>172.66666666666666</v>
      </c>
    </row>
    <row r="46" spans="1:5" x14ac:dyDescent="0.2">
      <c r="A46" t="s">
        <v>37</v>
      </c>
      <c r="B46" s="8">
        <v>1</v>
      </c>
      <c r="C46" s="8">
        <v>4</v>
      </c>
      <c r="D46" s="12">
        <f>B46*C46*1554/144*0.47</f>
        <v>20.28833333333333</v>
      </c>
    </row>
    <row r="47" spans="1:5" x14ac:dyDescent="0.2">
      <c r="B47" s="8">
        <v>2.5</v>
      </c>
      <c r="C47" s="8">
        <v>2</v>
      </c>
      <c r="D47" s="12">
        <f>B47*C47*1554/144*2.2</f>
        <v>118.70833333333334</v>
      </c>
    </row>
    <row r="48" spans="1:5" x14ac:dyDescent="0.2">
      <c r="B48" s="8"/>
      <c r="C48" s="8"/>
    </row>
    <row r="49" spans="1:8" ht="24" x14ac:dyDescent="0.3">
      <c r="A49" s="13" t="s">
        <v>14</v>
      </c>
      <c r="B49" s="1"/>
      <c r="C49" s="1"/>
      <c r="D49" s="2"/>
    </row>
    <row r="50" spans="1:8" x14ac:dyDescent="0.2">
      <c r="A50" s="3" t="s">
        <v>41</v>
      </c>
      <c r="D50" s="4"/>
    </row>
    <row r="51" spans="1:8" x14ac:dyDescent="0.2">
      <c r="A51" s="5" t="s">
        <v>1</v>
      </c>
      <c r="B51" s="6" t="s">
        <v>2</v>
      </c>
      <c r="C51" s="6" t="s">
        <v>3</v>
      </c>
      <c r="D51" s="7" t="s">
        <v>4</v>
      </c>
    </row>
    <row r="52" spans="1:8" x14ac:dyDescent="0.2">
      <c r="A52" s="3"/>
      <c r="D52" s="4"/>
      <c r="F52" s="6" t="s">
        <v>24</v>
      </c>
      <c r="G52">
        <v>4.0999999999999996</v>
      </c>
      <c r="H52">
        <v>5.8</v>
      </c>
    </row>
    <row r="53" spans="1:8" x14ac:dyDescent="0.2">
      <c r="A53" s="3" t="s">
        <v>5</v>
      </c>
      <c r="B53" s="31">
        <v>188</v>
      </c>
      <c r="C53" s="8">
        <v>98</v>
      </c>
      <c r="D53" s="9">
        <f>B53*C53/144*2.1</f>
        <v>268.68333333333334</v>
      </c>
      <c r="F53" t="s">
        <v>25</v>
      </c>
      <c r="G53">
        <v>5.8</v>
      </c>
      <c r="H53">
        <v>8.3000000000000007</v>
      </c>
    </row>
    <row r="54" spans="1:8" x14ac:dyDescent="0.2">
      <c r="A54" s="3" t="s">
        <v>6</v>
      </c>
      <c r="B54" s="8">
        <v>76</v>
      </c>
      <c r="C54" s="8">
        <v>95</v>
      </c>
      <c r="D54" s="9">
        <f>B54*C54/144*2.5</f>
        <v>125.34722222222221</v>
      </c>
      <c r="F54" s="6" t="s">
        <v>19</v>
      </c>
      <c r="G54">
        <v>8.3000000000000007</v>
      </c>
      <c r="H54">
        <v>11.7</v>
      </c>
    </row>
    <row r="55" spans="1:8" x14ac:dyDescent="0.2">
      <c r="A55" s="3" t="s">
        <v>7</v>
      </c>
      <c r="B55" s="8">
        <v>10</v>
      </c>
      <c r="C55" s="8">
        <v>33</v>
      </c>
      <c r="D55" s="9">
        <f>B55*C55/144*2.1</f>
        <v>4.8125</v>
      </c>
      <c r="F55" t="s">
        <v>20</v>
      </c>
      <c r="G55">
        <v>11.7</v>
      </c>
      <c r="H55">
        <v>16.5</v>
      </c>
    </row>
    <row r="56" spans="1:8" x14ac:dyDescent="0.2">
      <c r="A56" s="20" t="s">
        <v>18</v>
      </c>
      <c r="B56" s="21">
        <v>3</v>
      </c>
      <c r="C56" s="21">
        <v>3</v>
      </c>
      <c r="D56" s="22">
        <f>B56*C56/144*4</f>
        <v>0.25</v>
      </c>
      <c r="F56" s="6" t="s">
        <v>21</v>
      </c>
      <c r="G56">
        <v>16.5</v>
      </c>
      <c r="H56">
        <v>23.4</v>
      </c>
    </row>
    <row r="57" spans="1:8" x14ac:dyDescent="0.2">
      <c r="A57" s="3" t="s">
        <v>8</v>
      </c>
      <c r="B57" s="8">
        <v>26</v>
      </c>
      <c r="C57" s="8">
        <v>52</v>
      </c>
      <c r="D57" s="9">
        <f>B57*C57/144*2.5</f>
        <v>23.472222222222221</v>
      </c>
      <c r="F57" t="s">
        <v>22</v>
      </c>
      <c r="G57">
        <v>23.4</v>
      </c>
      <c r="H57">
        <v>33.1</v>
      </c>
    </row>
    <row r="58" spans="1:8" x14ac:dyDescent="0.2">
      <c r="A58" s="3" t="s">
        <v>13</v>
      </c>
      <c r="B58" s="8">
        <v>8.5559999999999992</v>
      </c>
      <c r="C58" s="8">
        <v>6.6669999999999998</v>
      </c>
      <c r="D58" s="9">
        <f>B58*C58/144*2.1</f>
        <v>0.83187492500000004</v>
      </c>
      <c r="F58" s="6" t="s">
        <v>23</v>
      </c>
      <c r="G58">
        <v>33.1</v>
      </c>
      <c r="H58">
        <v>46.8</v>
      </c>
    </row>
    <row r="59" spans="1:8" x14ac:dyDescent="0.2">
      <c r="A59" s="3" t="s">
        <v>9</v>
      </c>
      <c r="B59" s="8">
        <v>80</v>
      </c>
      <c r="C59" s="8">
        <v>26</v>
      </c>
      <c r="D59" s="9">
        <f>B59*C59/144*4</f>
        <v>57.777777777777779</v>
      </c>
    </row>
    <row r="60" spans="1:8" x14ac:dyDescent="0.2">
      <c r="A60" s="3" t="s">
        <v>16</v>
      </c>
      <c r="B60" s="8">
        <v>27</v>
      </c>
      <c r="C60" s="8">
        <v>38.5</v>
      </c>
      <c r="D60" s="9">
        <f>B60*C60/144*4</f>
        <v>28.875</v>
      </c>
    </row>
    <row r="61" spans="1:8" x14ac:dyDescent="0.2">
      <c r="A61" s="3" t="s">
        <v>10</v>
      </c>
      <c r="B61" s="8">
        <v>22</v>
      </c>
      <c r="C61" s="8">
        <v>10</v>
      </c>
      <c r="D61" s="9">
        <f>B61*C61/144*5</f>
        <v>7.6388888888888884</v>
      </c>
    </row>
    <row r="62" spans="1:8" x14ac:dyDescent="0.2">
      <c r="A62" s="10" t="s">
        <v>11</v>
      </c>
      <c r="B62" s="11">
        <v>15</v>
      </c>
      <c r="C62" s="11">
        <v>1.3</v>
      </c>
      <c r="D62" s="12">
        <f>B62*C62/144*3</f>
        <v>0.40625</v>
      </c>
    </row>
    <row r="63" spans="1:8" x14ac:dyDescent="0.2">
      <c r="A63" s="3" t="s">
        <v>28</v>
      </c>
      <c r="B63" s="8">
        <v>11.7</v>
      </c>
      <c r="C63" s="8">
        <v>16.5</v>
      </c>
      <c r="D63" s="12">
        <f>B63*C63/144*3.6</f>
        <v>4.8262499999999999</v>
      </c>
    </row>
    <row r="64" spans="1:8" x14ac:dyDescent="0.2">
      <c r="A64" s="3" t="s">
        <v>30</v>
      </c>
      <c r="B64" s="8">
        <v>36</v>
      </c>
      <c r="C64" s="8">
        <v>48</v>
      </c>
      <c r="D64" s="12">
        <f>B64*C64/144*5</f>
        <v>60</v>
      </c>
    </row>
    <row r="65" spans="1:6" x14ac:dyDescent="0.2">
      <c r="A65" s="3" t="s">
        <v>34</v>
      </c>
      <c r="B65" s="8" t="s">
        <v>55</v>
      </c>
      <c r="C65" s="8">
        <v>32</v>
      </c>
      <c r="D65" s="12" t="e">
        <f>B65*C65/144*2.1</f>
        <v>#VALUE!</v>
      </c>
    </row>
    <row r="66" spans="1:6" x14ac:dyDescent="0.2">
      <c r="A66" s="3" t="s">
        <v>33</v>
      </c>
      <c r="B66" s="8">
        <v>32</v>
      </c>
      <c r="C66" s="8">
        <v>96</v>
      </c>
      <c r="D66" s="12">
        <f>B66*C66/144*0.11</f>
        <v>2.3466666666666667</v>
      </c>
    </row>
    <row r="67" spans="1:6" x14ac:dyDescent="0.2">
      <c r="A67" s="3" t="s">
        <v>39</v>
      </c>
      <c r="B67" s="8">
        <v>5.2670000000000003</v>
      </c>
      <c r="C67" s="8">
        <v>10.39</v>
      </c>
      <c r="D67" s="12">
        <f>B67*C67/144*4</f>
        <v>1.5201147222222224</v>
      </c>
    </row>
    <row r="68" spans="1:6" x14ac:dyDescent="0.2">
      <c r="A68" s="3" t="s">
        <v>35</v>
      </c>
      <c r="B68" s="8">
        <v>39</v>
      </c>
      <c r="C68" s="8">
        <v>157</v>
      </c>
      <c r="D68" s="12">
        <f>B68*C68/144*4</f>
        <v>170.08333333333334</v>
      </c>
    </row>
    <row r="69" spans="1:6" x14ac:dyDescent="0.2">
      <c r="A69" s="3" t="s">
        <v>38</v>
      </c>
      <c r="B69" s="8">
        <v>120</v>
      </c>
      <c r="C69" s="8">
        <v>31.370999999999999</v>
      </c>
      <c r="D69" s="12">
        <f>B69*C69/144*0.47</f>
        <v>12.286974999999998</v>
      </c>
    </row>
    <row r="70" spans="1:6" x14ac:dyDescent="0.2">
      <c r="A70" s="3" t="s">
        <v>44</v>
      </c>
      <c r="B70" s="8">
        <v>12</v>
      </c>
      <c r="C70" s="8">
        <v>52</v>
      </c>
      <c r="D70" s="12">
        <f>B70*C70/144*1.6</f>
        <v>6.9333333333333336</v>
      </c>
    </row>
    <row r="71" spans="1:6" x14ac:dyDescent="0.2">
      <c r="A71" s="3" t="s">
        <v>45</v>
      </c>
      <c r="B71" s="8">
        <v>51.74</v>
      </c>
      <c r="C71" s="8">
        <v>51.74</v>
      </c>
      <c r="D71" s="12">
        <f>B71*C71/144*2.5</f>
        <v>46.476173611111122</v>
      </c>
    </row>
    <row r="72" spans="1:6" x14ac:dyDescent="0.2">
      <c r="A72" s="3" t="s">
        <v>46</v>
      </c>
      <c r="B72" s="8">
        <v>17</v>
      </c>
      <c r="C72" s="8">
        <v>12</v>
      </c>
      <c r="D72" s="12">
        <f>B72*C72/144*1.6</f>
        <v>2.2666666666666671</v>
      </c>
    </row>
    <row r="73" spans="1:6" x14ac:dyDescent="0.2">
      <c r="A73" s="3" t="s">
        <v>47</v>
      </c>
      <c r="B73" s="8">
        <v>60</v>
      </c>
      <c r="C73" s="8">
        <v>45</v>
      </c>
      <c r="D73" s="12">
        <f>B73*C73/144*1.6</f>
        <v>30</v>
      </c>
    </row>
    <row r="74" spans="1:6" x14ac:dyDescent="0.2">
      <c r="A74" s="3" t="s">
        <v>51</v>
      </c>
      <c r="B74" s="8"/>
      <c r="C74" s="8"/>
      <c r="D74" s="12"/>
    </row>
    <row r="75" spans="1:6" x14ac:dyDescent="0.2">
      <c r="A75" s="3" t="s">
        <v>52</v>
      </c>
      <c r="B75" s="8">
        <v>71.125</v>
      </c>
      <c r="C75" s="8">
        <v>36.125</v>
      </c>
      <c r="D75" s="12">
        <f>B75*C75/144*5</f>
        <v>89.214952256944443</v>
      </c>
    </row>
    <row r="76" spans="1:6" ht="24" x14ac:dyDescent="0.3">
      <c r="A76" s="13" t="s">
        <v>15</v>
      </c>
      <c r="B76" s="1"/>
      <c r="C76" s="1"/>
      <c r="D76" s="12"/>
    </row>
    <row r="77" spans="1:6" x14ac:dyDescent="0.2">
      <c r="A77" s="3"/>
      <c r="D77" s="4"/>
    </row>
    <row r="78" spans="1:6" x14ac:dyDescent="0.2">
      <c r="A78" s="5" t="s">
        <v>1</v>
      </c>
      <c r="B78" s="6" t="s">
        <v>2</v>
      </c>
      <c r="C78" s="6" t="s">
        <v>3</v>
      </c>
      <c r="D78" s="7" t="s">
        <v>4</v>
      </c>
    </row>
    <row r="79" spans="1:6" x14ac:dyDescent="0.2">
      <c r="A79" s="3"/>
      <c r="D79" s="4"/>
    </row>
    <row r="80" spans="1:6" x14ac:dyDescent="0.2">
      <c r="A80" s="3" t="s">
        <v>5</v>
      </c>
      <c r="B80" s="8">
        <v>8</v>
      </c>
      <c r="C80" s="8">
        <v>4</v>
      </c>
      <c r="D80" s="9">
        <f>B80*C80*2.2</f>
        <v>70.400000000000006</v>
      </c>
      <c r="F80" t="s">
        <v>36</v>
      </c>
    </row>
    <row r="81" spans="1:4" x14ac:dyDescent="0.2">
      <c r="A81" s="3" t="s">
        <v>6</v>
      </c>
      <c r="B81" s="8">
        <v>10</v>
      </c>
      <c r="C81" s="8">
        <v>8</v>
      </c>
      <c r="D81" s="9">
        <f>B81*C81*2.3</f>
        <v>184</v>
      </c>
    </row>
    <row r="82" spans="1:4" x14ac:dyDescent="0.2">
      <c r="A82" s="3" t="s">
        <v>7</v>
      </c>
      <c r="B82" s="8">
        <v>1.167</v>
      </c>
      <c r="C82" s="8">
        <v>1.167</v>
      </c>
      <c r="D82" s="9">
        <f>B82*C82*2.1</f>
        <v>2.8599669000000003</v>
      </c>
    </row>
    <row r="83" spans="1:4" x14ac:dyDescent="0.2">
      <c r="A83" s="3" t="s">
        <v>18</v>
      </c>
      <c r="B83" s="8">
        <v>4.5999999999999996</v>
      </c>
      <c r="C83" s="8">
        <v>6.1</v>
      </c>
      <c r="D83" s="9">
        <f>B83*C83*4</f>
        <v>112.23999999999998</v>
      </c>
    </row>
    <row r="84" spans="1:4" x14ac:dyDescent="0.2">
      <c r="A84" s="3" t="s">
        <v>8</v>
      </c>
      <c r="B84" s="8">
        <v>8</v>
      </c>
      <c r="C84" s="8">
        <v>10</v>
      </c>
      <c r="D84" s="9">
        <f>B84*C84*2.5</f>
        <v>200</v>
      </c>
    </row>
    <row r="85" spans="1:4" x14ac:dyDescent="0.2">
      <c r="A85" s="3" t="s">
        <v>13</v>
      </c>
      <c r="B85" s="8">
        <v>18</v>
      </c>
      <c r="C85" s="8">
        <v>7</v>
      </c>
      <c r="D85" s="9">
        <f>B85*C85*2.1</f>
        <v>264.60000000000002</v>
      </c>
    </row>
    <row r="86" spans="1:4" x14ac:dyDescent="0.2">
      <c r="A86" s="3" t="s">
        <v>9</v>
      </c>
      <c r="B86" s="8">
        <v>1.75</v>
      </c>
      <c r="C86" s="8">
        <v>7.4</v>
      </c>
      <c r="D86" s="9">
        <f>B86*C86*4</f>
        <v>51.800000000000004</v>
      </c>
    </row>
    <row r="87" spans="1:4" x14ac:dyDescent="0.2">
      <c r="A87" s="3" t="s">
        <v>17</v>
      </c>
      <c r="B87" s="8">
        <v>4</v>
      </c>
      <c r="C87" s="8">
        <v>4</v>
      </c>
      <c r="D87" s="9">
        <f>B87*C87*4</f>
        <v>64</v>
      </c>
    </row>
    <row r="88" spans="1:4" x14ac:dyDescent="0.2">
      <c r="A88" s="3" t="s">
        <v>10</v>
      </c>
      <c r="B88" s="8">
        <v>2</v>
      </c>
      <c r="C88" s="8">
        <v>4</v>
      </c>
      <c r="D88" s="9">
        <f>B88*C88*5</f>
        <v>40</v>
      </c>
    </row>
    <row r="89" spans="1:4" x14ac:dyDescent="0.2">
      <c r="A89" s="10" t="s">
        <v>11</v>
      </c>
      <c r="B89" s="11">
        <v>2</v>
      </c>
      <c r="C89" s="11">
        <v>4</v>
      </c>
      <c r="D89" s="12">
        <f>B89*C89*3</f>
        <v>24</v>
      </c>
    </row>
    <row r="90" spans="1:4" s="23" customFormat="1" x14ac:dyDescent="0.2">
      <c r="A90" s="23" t="s">
        <v>26</v>
      </c>
      <c r="B90" s="23">
        <v>99</v>
      </c>
      <c r="C90" s="23">
        <v>99</v>
      </c>
      <c r="D90" s="12">
        <f>B90*C90*0.11</f>
        <v>1078.1099999999999</v>
      </c>
    </row>
    <row r="91" spans="1:4" x14ac:dyDescent="0.2">
      <c r="A91" t="s">
        <v>29</v>
      </c>
      <c r="B91" s="8">
        <v>2</v>
      </c>
      <c r="C91" s="8">
        <v>2</v>
      </c>
      <c r="D91" s="12">
        <f>B91*C91*3.6</f>
        <v>14.4</v>
      </c>
    </row>
    <row r="92" spans="1:4" x14ac:dyDescent="0.2">
      <c r="A92" t="s">
        <v>30</v>
      </c>
      <c r="B92" s="8">
        <v>3</v>
      </c>
      <c r="C92" s="8">
        <v>8</v>
      </c>
      <c r="D92" s="12">
        <f>B92*C92*5</f>
        <v>120</v>
      </c>
    </row>
    <row r="93" spans="1:4" x14ac:dyDescent="0.2">
      <c r="A93" t="s">
        <v>35</v>
      </c>
      <c r="B93" s="8">
        <v>9</v>
      </c>
      <c r="C93" s="8">
        <v>3</v>
      </c>
      <c r="D93" s="12">
        <f>B93*C93*4</f>
        <v>108</v>
      </c>
    </row>
    <row r="94" spans="1:4" x14ac:dyDescent="0.2">
      <c r="A94" t="s">
        <v>38</v>
      </c>
      <c r="B94" s="8">
        <v>10</v>
      </c>
      <c r="C94" s="8">
        <v>10</v>
      </c>
      <c r="D94" s="12">
        <f>B94*C94*0.46</f>
        <v>46</v>
      </c>
    </row>
    <row r="95" spans="1:4" x14ac:dyDescent="0.2">
      <c r="A95" t="s">
        <v>33</v>
      </c>
      <c r="B95" s="8">
        <v>9</v>
      </c>
      <c r="C95" s="8">
        <v>3</v>
      </c>
      <c r="D95" s="12">
        <f>B95*C95*0.11</f>
        <v>2.97</v>
      </c>
    </row>
    <row r="96" spans="1:4" x14ac:dyDescent="0.2">
      <c r="A96" t="s">
        <v>48</v>
      </c>
      <c r="B96" s="8">
        <v>4</v>
      </c>
      <c r="C96" s="8">
        <v>10</v>
      </c>
      <c r="D96" s="9">
        <f>B96*C96*1.6</f>
        <v>64</v>
      </c>
    </row>
    <row r="97" spans="1:4" x14ac:dyDescent="0.2">
      <c r="A97" t="s">
        <v>49</v>
      </c>
      <c r="B97" s="8">
        <v>17</v>
      </c>
      <c r="C97">
        <v>12</v>
      </c>
      <c r="D97" s="9">
        <f>B97*C97*1.6</f>
        <v>326.40000000000003</v>
      </c>
    </row>
    <row r="98" spans="1:4" s="3" customFormat="1" x14ac:dyDescent="0.2">
      <c r="A98" s="3" t="s">
        <v>50</v>
      </c>
      <c r="B98" s="3">
        <v>51.74</v>
      </c>
      <c r="C98" s="3">
        <v>51.74</v>
      </c>
      <c r="D98" s="9">
        <f>B98*C98*1.6</f>
        <v>4283.2441600000011</v>
      </c>
    </row>
    <row r="99" spans="1:4" x14ac:dyDescent="0.2">
      <c r="A99" s="3" t="s">
        <v>51</v>
      </c>
      <c r="B99" s="3">
        <v>3</v>
      </c>
      <c r="C99" s="8">
        <v>4</v>
      </c>
      <c r="D99" s="9">
        <f>B99*C99*1.5</f>
        <v>18</v>
      </c>
    </row>
    <row r="100" spans="1:4" ht="19" x14ac:dyDescent="0.25">
      <c r="A100" s="24" t="s">
        <v>39</v>
      </c>
      <c r="B100" s="25" t="s">
        <v>40</v>
      </c>
      <c r="C100" s="8"/>
    </row>
    <row r="101" spans="1:4" x14ac:dyDescent="0.2">
      <c r="A101" s="26" t="s">
        <v>19</v>
      </c>
      <c r="B101" s="26">
        <v>6</v>
      </c>
    </row>
    <row r="102" spans="1:4" x14ac:dyDescent="0.2">
      <c r="A102" s="26" t="s">
        <v>20</v>
      </c>
      <c r="B102" s="26">
        <v>12</v>
      </c>
    </row>
    <row r="103" spans="1:4" x14ac:dyDescent="0.2">
      <c r="A103" s="26" t="s">
        <v>21</v>
      </c>
      <c r="B103" s="26">
        <v>24</v>
      </c>
    </row>
    <row r="104" spans="1:4" x14ac:dyDescent="0.2">
      <c r="A104" s="26" t="s">
        <v>22</v>
      </c>
      <c r="B104" s="26">
        <v>48</v>
      </c>
    </row>
  </sheetData>
  <mergeCells count="1">
    <mergeCell ref="A10:C10"/>
  </mergeCells>
  <phoneticPr fontId="10" type="noConversion"/>
  <pageMargins left="0.7" right="0.7" top="0.75" bottom="0.75" header="0.3" footer="0.3"/>
  <pageSetup paperSize="9" orientation="portrait" horizontalDpi="0" verticalDpi="0"/>
  <ignoredErrors>
    <ignoredError sqref="D24 D18 D36 D42 D57 D88 D84 D44 D38 D59 D8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2"/>
  <sheetViews>
    <sheetView workbookViewId="0">
      <selection activeCell="E10" sqref="E10"/>
    </sheetView>
  </sheetViews>
  <sheetFormatPr baseColWidth="10" defaultRowHeight="16" x14ac:dyDescent="0.2"/>
  <cols>
    <col min="1" max="1" width="19.5" customWidth="1"/>
  </cols>
  <sheetData>
    <row r="2" spans="1:2" x14ac:dyDescent="0.2">
      <c r="A2" s="29" t="s">
        <v>53</v>
      </c>
      <c r="B2" s="29" t="s">
        <v>54</v>
      </c>
    </row>
    <row r="3" spans="1:2" x14ac:dyDescent="0.2">
      <c r="A3" s="3" t="s">
        <v>5</v>
      </c>
      <c r="B3" s="30">
        <v>2.1</v>
      </c>
    </row>
    <row r="4" spans="1:2" x14ac:dyDescent="0.2">
      <c r="A4" s="3" t="s">
        <v>6</v>
      </c>
      <c r="B4" s="30">
        <v>2.5</v>
      </c>
    </row>
    <row r="5" spans="1:2" x14ac:dyDescent="0.2">
      <c r="A5" s="3" t="s">
        <v>7</v>
      </c>
      <c r="B5" s="30">
        <v>2.1</v>
      </c>
    </row>
    <row r="6" spans="1:2" x14ac:dyDescent="0.2">
      <c r="A6" s="20" t="s">
        <v>18</v>
      </c>
      <c r="B6" s="30">
        <v>4</v>
      </c>
    </row>
    <row r="7" spans="1:2" x14ac:dyDescent="0.2">
      <c r="A7" s="3" t="s">
        <v>8</v>
      </c>
      <c r="B7" s="30">
        <v>2.5</v>
      </c>
    </row>
    <row r="8" spans="1:2" x14ac:dyDescent="0.2">
      <c r="A8" s="3" t="s">
        <v>13</v>
      </c>
      <c r="B8" s="30">
        <v>2.1</v>
      </c>
    </row>
    <row r="9" spans="1:2" x14ac:dyDescent="0.2">
      <c r="A9" s="3" t="s">
        <v>9</v>
      </c>
      <c r="B9" s="30">
        <v>4</v>
      </c>
    </row>
    <row r="10" spans="1:2" x14ac:dyDescent="0.2">
      <c r="A10" s="3" t="s">
        <v>16</v>
      </c>
      <c r="B10" s="30">
        <v>4</v>
      </c>
    </row>
    <row r="11" spans="1:2" x14ac:dyDescent="0.2">
      <c r="A11" s="3" t="s">
        <v>10</v>
      </c>
      <c r="B11" s="30">
        <v>5</v>
      </c>
    </row>
    <row r="12" spans="1:2" x14ac:dyDescent="0.2">
      <c r="A12" s="10" t="s">
        <v>11</v>
      </c>
      <c r="B12" s="30">
        <v>3</v>
      </c>
    </row>
    <row r="13" spans="1:2" x14ac:dyDescent="0.2">
      <c r="A13" s="3" t="s">
        <v>28</v>
      </c>
      <c r="B13" s="30">
        <v>3.6</v>
      </c>
    </row>
    <row r="14" spans="1:2" x14ac:dyDescent="0.2">
      <c r="A14" s="3" t="s">
        <v>30</v>
      </c>
      <c r="B14" s="30">
        <v>5</v>
      </c>
    </row>
    <row r="15" spans="1:2" x14ac:dyDescent="0.2">
      <c r="A15" s="3" t="s">
        <v>34</v>
      </c>
      <c r="B15" s="30">
        <v>2.1</v>
      </c>
    </row>
    <row r="16" spans="1:2" x14ac:dyDescent="0.2">
      <c r="A16" s="3" t="s">
        <v>39</v>
      </c>
      <c r="B16" s="30">
        <v>4</v>
      </c>
    </row>
    <row r="17" spans="1:2" x14ac:dyDescent="0.2">
      <c r="A17" s="3" t="s">
        <v>35</v>
      </c>
      <c r="B17" s="30">
        <v>4</v>
      </c>
    </row>
    <row r="18" spans="1:2" x14ac:dyDescent="0.2">
      <c r="A18" s="3" t="s">
        <v>44</v>
      </c>
      <c r="B18" s="30">
        <v>1.6</v>
      </c>
    </row>
    <row r="19" spans="1:2" x14ac:dyDescent="0.2">
      <c r="A19" s="3" t="s">
        <v>45</v>
      </c>
      <c r="B19" s="30">
        <v>2.5</v>
      </c>
    </row>
    <row r="20" spans="1:2" x14ac:dyDescent="0.2">
      <c r="A20" s="3" t="s">
        <v>46</v>
      </c>
      <c r="B20" s="30">
        <v>1.6</v>
      </c>
    </row>
    <row r="21" spans="1:2" x14ac:dyDescent="0.2">
      <c r="A21" s="3" t="s">
        <v>47</v>
      </c>
      <c r="B21" s="30">
        <v>1.6</v>
      </c>
    </row>
    <row r="22" spans="1:2" x14ac:dyDescent="0.2">
      <c r="A22" s="3" t="s">
        <v>52</v>
      </c>
      <c r="B22" s="30">
        <v>5</v>
      </c>
    </row>
  </sheetData>
  <phoneticPr fontId="10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&amp; Customers</vt:lpstr>
      <vt:lpstr>Marketers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Print DPI Design Desk</cp:lastModifiedBy>
  <cp:lastPrinted>2026-01-27T10:49:24Z</cp:lastPrinted>
  <dcterms:created xsi:type="dcterms:W3CDTF">2023-04-01T16:41:22Z</dcterms:created>
  <dcterms:modified xsi:type="dcterms:W3CDTF">2026-06-22T18:04:37Z</dcterms:modified>
</cp:coreProperties>
</file>